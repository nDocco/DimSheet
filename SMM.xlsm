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png" ContentType="image/png"/>
  <Default Extension="rels" ContentType="application/vnd.openxmlformats-package.relationships+xml"/>
  <Default Extension="wdp" ContentType="image/vnd.ms-photo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530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E:\Development\Git\DimSheet\"/>
    </mc:Choice>
  </mc:AlternateContent>
  <xr:revisionPtr revIDLastSave="0" documentId="13_ncr:1_{CBD00DBC-E086-4DD1-9A48-244BAD972888}" xr6:coauthVersionLast="46" xr6:coauthVersionMax="46" xr10:uidLastSave="{00000000-0000-0000-0000-000000000000}"/>
  <bookViews>
    <workbookView xWindow="-10665" yWindow="4245" windowWidth="7500" windowHeight="6000" xr2:uid="{A49E1F65-22BF-45F2-A553-824E86F83449}"/>
  </bookViews>
  <sheets>
    <sheet name="SM" sheetId="1" r:id="rId1"/>
  </sheets>
  <functionGroups builtInGroupCount="19"/>
  <definedNames>
    <definedName name="_xlnm.Print_Area" localSheetId="0">SM!$A$1:$P$56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F36" i="1" l="1"/>
  <c r="F35" i="1"/>
  <c r="F26" i="1"/>
  <c r="G27" i="1" a="1"/>
  <c r="G29" i="1" a="1"/>
  <c r="G13" i="1" a="1"/>
  <c r="G37" i="1" a="1"/>
  <c r="G31" i="1" a="1"/>
  <c r="G25" i="1" a="1"/>
  <c r="G16" i="1" a="1"/>
  <c r="G19" i="1" a="1"/>
  <c r="G27" i="1" l="1"/>
  <c r="G13" i="1"/>
  <c r="G37" i="1"/>
  <c r="G31" i="1"/>
  <c r="G29" i="1"/>
  <c r="G25" i="1"/>
  <c r="G19" i="1"/>
  <c r="G16" i="1"/>
  <c r="G32" i="1" l="1"/>
  <c r="G20" i="1"/>
  <c r="G40" i="1" l="1"/>
  <c r="K116" i="1" l="1"/>
  <c r="I116" i="1"/>
  <c r="A116" i="1"/>
  <c r="M114" i="1"/>
  <c r="O113" i="1"/>
  <c r="M58" i="1" l="1"/>
  <c r="O57" i="1"/>
  <c r="K60" i="1" l="1"/>
  <c r="I60" i="1"/>
  <c r="A60" i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<sst xmlns="http://schemas.openxmlformats.org/spreadsheetml/2006/main" count="45" uniqueCount="28">
  <si>
    <t>SM SHEET</t>
  </si>
  <si>
    <t>Contract Title</t>
  </si>
  <si>
    <t>Contract Title:</t>
  </si>
  <si>
    <t>Job No:</t>
  </si>
  <si>
    <t>Client:</t>
  </si>
  <si>
    <t>Description of Works:</t>
  </si>
  <si>
    <t>DATE:</t>
  </si>
  <si>
    <t>SHEET NO:</t>
  </si>
  <si>
    <t>OF</t>
  </si>
  <si>
    <t>####</t>
  </si>
  <si>
    <t>Client</t>
  </si>
  <si>
    <t>Excavate Foundations</t>
  </si>
  <si>
    <t>cm</t>
  </si>
  <si>
    <t>Earthwork Support</t>
  </si>
  <si>
    <t>sm</t>
  </si>
  <si>
    <t>Claymaster</t>
  </si>
  <si>
    <t>16.00 - 2 * 0.45</t>
  </si>
  <si>
    <t>8.00 + 2 * 0.60</t>
  </si>
  <si>
    <t>m</t>
  </si>
  <si>
    <t>Concrete</t>
  </si>
  <si>
    <t>As Excavation</t>
  </si>
  <si>
    <t>Ground Beams</t>
  </si>
  <si>
    <t>&lt;-------Timesing-------&gt;</t>
  </si>
  <si>
    <t>Dims</t>
  </si>
  <si>
    <t>Squaring</t>
  </si>
  <si>
    <t>Unit</t>
  </si>
  <si>
    <t>Work item</t>
  </si>
  <si>
    <t>Description----------------------------&gt;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</si>
</sst>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General&quot;*&quot;"/>
    <numFmt numFmtId="165" formatCode="#,##0.000"/>
  </numFmts>
  <fonts count="22" x14ac:knownFonts="1">
    <font>
      <sz val="11"/>
      <color theme="1"/>
      <name val="Calibri"/>
      <family val="2"/>
      <scheme val="minor"/>
    </font>
    <font>
      <b/>
      <u/>
      <sz val="10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i/>
      <sz val="10"/>
      <color theme="1"/>
      <name val="Calibri"/>
      <family val="2"/>
      <scheme val="minor"/>
    </font>
    <font>
      <i/>
      <sz val="10"/>
      <color theme="1"/>
      <name val="Calibri"/>
      <family val="2"/>
    </font>
    <font>
      <b/>
      <sz val="12"/>
      <color theme="1"/>
      <name val="Times New Roman"/>
      <family val="1"/>
    </font>
    <font>
      <b/>
      <sz val="24"/>
      <color theme="1"/>
      <name val="Times New Roman"/>
      <family val="1"/>
    </font>
    <font>
      <b/>
      <sz val="14"/>
      <color theme="0"/>
      <name val="Times New Roman"/>
      <family val="1"/>
    </font>
    <font>
      <b/>
      <i/>
      <sz val="12"/>
      <color theme="0"/>
      <name val="Times New Roman"/>
      <family val="1"/>
    </font>
    <font>
      <sz val="8"/>
      <color theme="0"/>
      <name val="Calibri"/>
      <family val="2"/>
      <scheme val="minor"/>
    </font>
    <font>
      <i/>
      <sz val="8"/>
      <color theme="0"/>
      <name val="Calibri"/>
      <family val="2"/>
      <scheme val="minor"/>
    </font>
    <font>
      <sz val="8"/>
      <color theme="1"/>
      <name val="Calibri"/>
      <family val="2"/>
      <scheme val="minor"/>
    </font>
    <font>
      <i/>
      <sz val="8"/>
      <color theme="1"/>
      <name val="Calibri"/>
      <family val="2"/>
      <scheme val="minor"/>
    </font>
    <font>
      <b/>
      <sz val="11"/>
      <color theme="0"/>
      <name val="Times New Roman"/>
      <family val="1"/>
    </font>
    <font>
      <sz val="18"/>
      <color theme="1"/>
      <name val="Calibri"/>
      <family val="2"/>
      <scheme val="minor"/>
    </font>
    <font>
      <b/>
      <sz val="28"/>
      <color theme="0"/>
      <name val="Times New Roman"/>
      <family val="1"/>
    </font>
    <font>
      <b/>
      <sz val="18"/>
      <color theme="1"/>
      <name val="Calibri"/>
      <family val="2"/>
      <scheme val="minor"/>
    </font>
    <font>
      <u/>
      <sz val="10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b/>
      <sz val="8"/>
      <color theme="0"/>
      <name val="Calibri"/>
      <family val="2"/>
      <scheme val="minor"/>
    </font>
    <font>
      <b/>
      <sz val="8"/>
      <color theme="1"/>
      <name val="Calibri"/>
      <family val="2"/>
      <scheme val="minor"/>
    </font>
    <font>
      <b/>
      <sz val="12"/>
      <color theme="0"/>
      <name val="Times New Roman"/>
      <family val="1"/>
    </font>
  </fonts>
  <fills count="4">
    <fill>
      <patternFill patternType="none"/>
    </fill>
    <fill>
      <patternFill patternType="gray125"/>
    </fill>
    <fill>
      <patternFill patternType="solid">
        <fgColor rgb="FF007E39"/>
        <bgColor indexed="64"/>
      </patternFill>
    </fill>
    <fill>
      <patternFill patternType="solid">
        <fgColor theme="0"/>
        <bgColor indexed="64"/>
      </patternFill>
    </fill>
  </fills>
  <borders count="29">
    <border>
      <left/>
      <right/>
      <top/>
      <bottom/>
      <diagonal/>
    </border>
    <border>
      <left style="double">
        <color auto="1"/>
      </left>
      <right style="double">
        <color auto="1"/>
      </right>
      <top/>
      <bottom/>
      <diagonal/>
    </border>
    <border>
      <left style="thick">
        <color rgb="FF007E39"/>
      </left>
      <right/>
      <top style="dotted">
        <color auto="1"/>
      </top>
      <bottom style="dotted">
        <color auto="1"/>
      </bottom>
      <diagonal/>
    </border>
    <border>
      <left/>
      <right/>
      <top style="dotted">
        <color auto="1"/>
      </top>
      <bottom style="dotted">
        <color auto="1"/>
      </bottom>
      <diagonal/>
    </border>
    <border>
      <left/>
      <right style="thick">
        <color rgb="FF007E39"/>
      </right>
      <top style="dotted">
        <color auto="1"/>
      </top>
      <bottom style="dotted">
        <color auto="1"/>
      </bottom>
      <diagonal/>
    </border>
    <border>
      <left style="thick">
        <color rgb="FF007E39"/>
      </left>
      <right/>
      <top/>
      <bottom style="dotted">
        <color auto="1"/>
      </bottom>
      <diagonal/>
    </border>
    <border>
      <left/>
      <right/>
      <top/>
      <bottom style="dotted">
        <color auto="1"/>
      </bottom>
      <diagonal/>
    </border>
    <border>
      <left/>
      <right style="thick">
        <color rgb="FF007E39"/>
      </right>
      <top/>
      <bottom style="dotted">
        <color auto="1"/>
      </bottom>
      <diagonal/>
    </border>
    <border>
      <left style="thick">
        <color rgb="FF007E39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ck">
        <color rgb="FF007E39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/>
      <right style="thick">
        <color rgb="FF007E39"/>
      </right>
      <top/>
      <bottom style="thin">
        <color auto="1"/>
      </bottom>
      <diagonal/>
    </border>
    <border>
      <left style="thick">
        <color rgb="FF007E39"/>
      </left>
      <right/>
      <top style="thick">
        <color rgb="FF007E39"/>
      </top>
      <bottom/>
      <diagonal/>
    </border>
    <border>
      <left/>
      <right/>
      <top style="thick">
        <color rgb="FF007E39"/>
      </top>
      <bottom/>
      <diagonal/>
    </border>
    <border>
      <left/>
      <right style="thick">
        <color rgb="FF007E39"/>
      </right>
      <top style="thick">
        <color rgb="FF007E39"/>
      </top>
      <bottom/>
      <diagonal/>
    </border>
    <border>
      <left style="thick">
        <color rgb="FF007E39"/>
      </left>
      <right/>
      <top style="dotted">
        <color auto="1"/>
      </top>
      <bottom style="thick">
        <color rgb="FF007E39"/>
      </bottom>
      <diagonal/>
    </border>
    <border>
      <left/>
      <right/>
      <top style="dotted">
        <color auto="1"/>
      </top>
      <bottom style="thick">
        <color rgb="FF007E39"/>
      </bottom>
      <diagonal/>
    </border>
    <border>
      <left/>
      <right style="thick">
        <color rgb="FF007E39"/>
      </right>
      <top style="dotted">
        <color auto="1"/>
      </top>
      <bottom style="thick">
        <color rgb="FF007E39"/>
      </bottom>
      <diagonal/>
    </border>
    <border>
      <left style="thick">
        <color rgb="FF007E39"/>
      </left>
      <right/>
      <top/>
      <bottom style="thin">
        <color auto="1"/>
      </bottom>
      <diagonal/>
    </border>
    <border>
      <left/>
      <right style="dotted">
        <color auto="1"/>
      </right>
      <top/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/>
      <right style="thick">
        <color rgb="FF007E39"/>
      </right>
      <top style="thin">
        <color auto="1"/>
      </top>
      <bottom/>
      <diagonal/>
    </border>
    <border>
      <left style="double">
        <color auto="1"/>
      </left>
      <right style="double">
        <color auto="1"/>
      </right>
      <top style="thin">
        <color indexed="64"/>
      </top>
      <bottom style="thin">
        <color indexed="64"/>
      </bottom>
      <diagonal/>
    </border>
    <border>
      <left style="double">
        <color auto="1"/>
      </left>
      <right style="double">
        <color auto="1"/>
      </right>
      <top/>
      <bottom style="thin">
        <color indexed="64"/>
      </bottom>
      <diagonal/>
    </border>
    <border>
      <left/>
      <right style="double">
        <color auto="1"/>
      </right>
      <top/>
      <bottom/>
      <diagonal/>
    </border>
  </borders>
  <cellStyleXfs count="1">
    <xf numFmtId="0" fontId="0" fillId="0" borderId="0"/>
  </cellStyleXfs>
  <cellXfs count="84">
    <xf numFmtId="0" fontId="0" fillId="0" borderId="0" xfId="0"/>
    <xf numFmtId="0" fontId="2" fillId="0" borderId="0" xfId="0" applyFont="1"/>
    <xf numFmtId="165" fontId="2" fillId="0" borderId="1" xfId="0" applyNumberFormat="1" applyFont="1" applyBorder="1" applyAlignment="1">
      <alignment horizontal="center" vertical="center"/>
    </xf>
    <xf numFmtId="4" fontId="2" fillId="0" borderId="1" xfId="0" applyNumberFormat="1" applyFont="1" applyBorder="1" applyAlignment="1">
      <alignment horizontal="center" vertical="center"/>
    </xf>
    <xf numFmtId="164" fontId="3" fillId="0" borderId="0" xfId="0" applyNumberFormat="1" applyFont="1"/>
    <xf numFmtId="164" fontId="4" fillId="0" borderId="0" xfId="0" applyNumberFormat="1" applyFont="1"/>
    <xf numFmtId="0" fontId="1" fillId="0" borderId="0" xfId="0" applyFont="1"/>
    <xf numFmtId="0" fontId="5" fillId="0" borderId="0" xfId="0" applyNumberFormat="1" applyFont="1"/>
    <xf numFmtId="0" fontId="9" fillId="2" borderId="9" xfId="0" applyFont="1" applyFill="1" applyBorder="1"/>
    <xf numFmtId="164" fontId="10" fillId="2" borderId="9" xfId="0" applyNumberFormat="1" applyFont="1" applyFill="1" applyBorder="1"/>
    <xf numFmtId="165" fontId="9" fillId="2" borderId="9" xfId="0" applyNumberFormat="1" applyFont="1" applyFill="1" applyBorder="1" applyAlignment="1">
      <alignment horizontal="center" vertical="center"/>
    </xf>
    <xf numFmtId="4" fontId="9" fillId="2" borderId="9" xfId="0" applyNumberFormat="1" applyFont="1" applyFill="1" applyBorder="1" applyAlignment="1">
      <alignment horizontal="center" vertical="center"/>
    </xf>
    <xf numFmtId="0" fontId="9" fillId="2" borderId="12" xfId="0" applyFont="1" applyFill="1" applyBorder="1"/>
    <xf numFmtId="164" fontId="9" fillId="2" borderId="9" xfId="0" applyNumberFormat="1" applyFont="1" applyFill="1" applyBorder="1"/>
    <xf numFmtId="4" fontId="9" fillId="2" borderId="10" xfId="0" applyNumberFormat="1" applyFont="1" applyFill="1" applyBorder="1" applyAlignment="1">
      <alignment horizontal="center" vertical="center"/>
    </xf>
    <xf numFmtId="0" fontId="11" fillId="0" borderId="0" xfId="0" applyFont="1"/>
    <xf numFmtId="0" fontId="11" fillId="2" borderId="9" xfId="0" applyFont="1" applyFill="1" applyBorder="1"/>
    <xf numFmtId="164" fontId="12" fillId="2" borderId="9" xfId="0" applyNumberFormat="1" applyFont="1" applyFill="1" applyBorder="1"/>
    <xf numFmtId="165" fontId="11" fillId="2" borderId="9" xfId="0" applyNumberFormat="1" applyFont="1" applyFill="1" applyBorder="1" applyAlignment="1">
      <alignment horizontal="center" vertical="center"/>
    </xf>
    <xf numFmtId="4" fontId="11" fillId="2" borderId="9" xfId="0" applyNumberFormat="1" applyFont="1" applyFill="1" applyBorder="1" applyAlignment="1">
      <alignment horizontal="center" vertical="center"/>
    </xf>
    <xf numFmtId="4" fontId="11" fillId="2" borderId="10" xfId="0" applyNumberFormat="1" applyFont="1" applyFill="1" applyBorder="1" applyAlignment="1">
      <alignment horizontal="center" vertical="center"/>
    </xf>
    <xf numFmtId="0" fontId="13" fillId="2" borderId="13" xfId="0" applyNumberFormat="1" applyFont="1" applyFill="1" applyBorder="1" applyAlignment="1">
      <alignment horizontal="left" vertical="center"/>
    </xf>
    <xf numFmtId="0" fontId="14" fillId="0" borderId="0" xfId="0" applyFont="1"/>
    <xf numFmtId="49" fontId="9" fillId="2" borderId="8" xfId="0" applyNumberFormat="1" applyFont="1" applyFill="1" applyBorder="1" applyAlignment="1">
      <alignment horizontal="left" vertical="top"/>
    </xf>
    <xf numFmtId="49" fontId="1" fillId="0" borderId="0" xfId="0" applyNumberFormat="1" applyFont="1" applyAlignment="1">
      <alignment horizontal="left" vertical="top"/>
    </xf>
    <xf numFmtId="49" fontId="2" fillId="0" borderId="0" xfId="0" quotePrefix="1" applyNumberFormat="1" applyFont="1" applyAlignment="1">
      <alignment horizontal="left" vertical="top"/>
    </xf>
    <xf numFmtId="49" fontId="2" fillId="0" borderId="0" xfId="0" applyNumberFormat="1" applyFont="1" applyAlignment="1">
      <alignment horizontal="left" vertical="top"/>
    </xf>
    <xf numFmtId="49" fontId="9" fillId="2" borderId="11" xfId="0" applyNumberFormat="1" applyFont="1" applyFill="1" applyBorder="1"/>
    <xf numFmtId="49" fontId="11" fillId="2" borderId="9" xfId="0" applyNumberFormat="1" applyFont="1" applyFill="1" applyBorder="1"/>
    <xf numFmtId="49" fontId="2" fillId="0" borderId="0" xfId="0" applyNumberFormat="1" applyFont="1"/>
    <xf numFmtId="0" fontId="2" fillId="3" borderId="5" xfId="0" applyNumberFormat="1" applyFont="1" applyFill="1" applyBorder="1" applyAlignment="1">
      <alignment vertical="center"/>
    </xf>
    <xf numFmtId="0" fontId="2" fillId="3" borderId="6" xfId="0" applyNumberFormat="1" applyFont="1" applyFill="1" applyBorder="1" applyAlignment="1">
      <alignment vertical="center"/>
    </xf>
    <xf numFmtId="0" fontId="2" fillId="3" borderId="7" xfId="0" applyNumberFormat="1" applyFont="1" applyFill="1" applyBorder="1" applyAlignment="1">
      <alignment vertical="center"/>
    </xf>
    <xf numFmtId="0" fontId="2" fillId="3" borderId="2" xfId="0" applyNumberFormat="1" applyFont="1" applyFill="1" applyBorder="1" applyAlignment="1">
      <alignment vertical="center"/>
    </xf>
    <xf numFmtId="0" fontId="2" fillId="3" borderId="3" xfId="0" applyNumberFormat="1" applyFont="1" applyFill="1" applyBorder="1" applyAlignment="1">
      <alignment vertical="center"/>
    </xf>
    <xf numFmtId="0" fontId="2" fillId="3" borderId="4" xfId="0" applyNumberFormat="1" applyFont="1" applyFill="1" applyBorder="1" applyAlignment="1">
      <alignment vertical="center"/>
    </xf>
    <xf numFmtId="49" fontId="1" fillId="0" borderId="0" xfId="0" applyNumberFormat="1" applyFont="1"/>
    <xf numFmtId="0" fontId="17" fillId="0" borderId="0" xfId="0" applyFont="1"/>
    <xf numFmtId="0" fontId="14" fillId="0" borderId="0" xfId="0" applyNumberFormat="1" applyFont="1"/>
    <xf numFmtId="0" fontId="15" fillId="2" borderId="13" xfId="0" applyNumberFormat="1" applyFont="1" applyFill="1" applyBorder="1" applyAlignment="1">
      <alignment horizontal="left" vertical="center"/>
    </xf>
    <xf numFmtId="49" fontId="5" fillId="2" borderId="15" xfId="0" applyNumberFormat="1" applyFont="1" applyFill="1" applyBorder="1" applyAlignment="1">
      <alignment horizontal="left" vertical="top"/>
    </xf>
    <xf numFmtId="0" fontId="15" fillId="2" borderId="16" xfId="0" applyNumberFormat="1" applyFont="1" applyFill="1" applyBorder="1" applyAlignment="1">
      <alignment horizontal="left" vertical="center"/>
    </xf>
    <xf numFmtId="49" fontId="6" fillId="2" borderId="16" xfId="0" applyNumberFormat="1" applyFont="1" applyFill="1" applyBorder="1" applyAlignment="1">
      <alignment horizontal="left" vertical="center"/>
    </xf>
    <xf numFmtId="0" fontId="6" fillId="2" borderId="16" xfId="0" applyNumberFormat="1" applyFont="1" applyFill="1" applyBorder="1" applyAlignment="1">
      <alignment horizontal="left" vertical="center"/>
    </xf>
    <xf numFmtId="0" fontId="7" fillId="2" borderId="16" xfId="0" applyNumberFormat="1" applyFont="1" applyFill="1" applyBorder="1" applyAlignment="1">
      <alignment horizontal="center" vertical="center"/>
    </xf>
    <xf numFmtId="0" fontId="8" fillId="2" borderId="16" xfId="0" applyNumberFormat="1" applyFont="1" applyFill="1" applyBorder="1" applyAlignment="1">
      <alignment horizontal="center" vertical="center"/>
    </xf>
    <xf numFmtId="0" fontId="2" fillId="3" borderId="18" xfId="0" applyNumberFormat="1" applyFont="1" applyFill="1" applyBorder="1" applyAlignment="1">
      <alignment vertical="center"/>
    </xf>
    <xf numFmtId="0" fontId="2" fillId="3" borderId="19" xfId="0" applyNumberFormat="1" applyFont="1" applyFill="1" applyBorder="1" applyAlignment="1">
      <alignment vertical="center"/>
    </xf>
    <xf numFmtId="0" fontId="2" fillId="3" borderId="20" xfId="0" applyNumberFormat="1" applyFont="1" applyFill="1" applyBorder="1" applyAlignment="1">
      <alignment vertical="center"/>
    </xf>
    <xf numFmtId="0" fontId="13" fillId="2" borderId="16" xfId="0" applyNumberFormat="1" applyFont="1" applyFill="1" applyBorder="1" applyAlignment="1">
      <alignment horizontal="left" vertical="center"/>
    </xf>
    <xf numFmtId="49" fontId="5" fillId="2" borderId="21" xfId="0" applyNumberFormat="1" applyFont="1" applyFill="1" applyBorder="1" applyAlignment="1">
      <alignment horizontal="left" vertical="top"/>
    </xf>
    <xf numFmtId="49" fontId="6" fillId="2" borderId="13" xfId="0" applyNumberFormat="1" applyFont="1" applyFill="1" applyBorder="1" applyAlignment="1">
      <alignment horizontal="left" vertical="center"/>
    </xf>
    <xf numFmtId="0" fontId="6" fillId="2" borderId="13" xfId="0" applyNumberFormat="1" applyFont="1" applyFill="1" applyBorder="1" applyAlignment="1">
      <alignment horizontal="left" vertical="center"/>
    </xf>
    <xf numFmtId="4" fontId="19" fillId="2" borderId="9" xfId="0" applyNumberFormat="1" applyFont="1" applyFill="1" applyBorder="1" applyAlignment="1">
      <alignment horizontal="center" vertical="center"/>
    </xf>
    <xf numFmtId="4" fontId="20" fillId="2" borderId="9" xfId="0" applyNumberFormat="1" applyFont="1" applyFill="1" applyBorder="1" applyAlignment="1">
      <alignment horizontal="center" vertical="center"/>
    </xf>
    <xf numFmtId="0" fontId="18" fillId="3" borderId="6" xfId="0" applyNumberFormat="1" applyFont="1" applyFill="1" applyBorder="1" applyAlignment="1">
      <alignment vertical="center"/>
    </xf>
    <xf numFmtId="0" fontId="18" fillId="3" borderId="3" xfId="0" applyNumberFormat="1" applyFont="1" applyFill="1" applyBorder="1" applyAlignment="1">
      <alignment vertical="center"/>
    </xf>
    <xf numFmtId="0" fontId="18" fillId="3" borderId="19" xfId="0" applyNumberFormat="1" applyFont="1" applyFill="1" applyBorder="1" applyAlignment="1">
      <alignment vertical="center"/>
    </xf>
    <xf numFmtId="4" fontId="18" fillId="0" borderId="22" xfId="0" applyNumberFormat="1" applyFont="1" applyBorder="1" applyAlignment="1">
      <alignment horizontal="center" vertical="center"/>
    </xf>
    <xf numFmtId="0" fontId="5" fillId="2" borderId="16" xfId="0" applyFont="1" applyFill="1" applyBorder="1"/>
    <xf numFmtId="0" fontId="5" fillId="2" borderId="13" xfId="0" applyFont="1" applyFill="1" applyBorder="1"/>
    <xf numFmtId="0" fontId="15" fillId="2" borderId="13" xfId="0" applyFont="1" applyFill="1" applyBorder="1" applyAlignment="1">
      <alignment horizontal="left" vertical="center"/>
    </xf>
    <xf numFmtId="0" fontId="21" fillId="2" borderId="17" xfId="0" applyFont="1" applyFill="1" applyBorder="1" applyAlignment="1">
      <alignment horizontal="center" vertical="center"/>
    </xf>
    <xf numFmtId="14" fontId="21" fillId="2" borderId="14" xfId="0" applyNumberFormat="1" applyFont="1" applyFill="1" applyBorder="1" applyAlignment="1">
      <alignment horizontal="center" vertical="center"/>
    </xf>
    <xf numFmtId="4" fontId="18" fillId="0" borderId="26" xfId="0" applyNumberFormat="1" applyFont="1" applyBorder="1" applyAlignment="1">
      <alignment horizontal="center" vertical="center"/>
    </xf>
    <xf numFmtId="165" fontId="2" fillId="0" borderId="27" xfId="0" applyNumberFormat="1" applyFont="1" applyBorder="1" applyAlignment="1">
      <alignment horizontal="center" vertical="center"/>
    </xf>
    <xf numFmtId="165" fontId="2" fillId="0" borderId="26" xfId="0" applyNumberFormat="1" applyFont="1" applyBorder="1" applyAlignment="1">
      <alignment horizontal="center" vertical="center"/>
    </xf>
    <xf numFmtId="0" fontId="18" fillId="3" borderId="5" xfId="0" applyNumberFormat="1" applyFont="1" applyFill="1" applyBorder="1" applyAlignment="1">
      <alignment vertical="center"/>
    </xf>
    <xf numFmtId="16" fontId="2" fillId="0" borderId="0" xfId="0" applyNumberFormat="1" applyFont="1"/>
    <xf numFmtId="14" fontId="7" fillId="2" borderId="13" xfId="0" applyNumberFormat="1" applyFont="1" applyFill="1" applyBorder="1" applyAlignment="1">
      <alignment horizontal="center" vertical="center"/>
    </xf>
    <xf numFmtId="0" fontId="16" fillId="3" borderId="11" xfId="0" applyNumberFormat="1" applyFont="1" applyFill="1" applyBorder="1" applyAlignment="1">
      <alignment horizontal="center" vertical="center"/>
    </xf>
    <xf numFmtId="0" fontId="16" fillId="3" borderId="12" xfId="0" applyNumberFormat="1" applyFont="1" applyFill="1" applyBorder="1" applyAlignment="1">
      <alignment horizontal="center" vertical="center"/>
    </xf>
    <xf numFmtId="0" fontId="15" fillId="2" borderId="16" xfId="0" applyNumberFormat="1" applyFont="1" applyFill="1" applyBorder="1" applyAlignment="1">
      <alignment horizontal="left" vertical="center"/>
    </xf>
    <xf numFmtId="0" fontId="15" fillId="2" borderId="13" xfId="0" applyNumberFormat="1" applyFont="1" applyFill="1" applyBorder="1" applyAlignment="1">
      <alignment horizontal="left" vertical="center"/>
    </xf>
    <xf numFmtId="0" fontId="16" fillId="3" borderId="8" xfId="0" applyNumberFormat="1" applyFont="1" applyFill="1" applyBorder="1" applyAlignment="1">
      <alignment horizontal="left" vertical="center" shrinkToFit="1"/>
    </xf>
    <xf numFmtId="0" fontId="16" fillId="3" borderId="9" xfId="0" applyNumberFormat="1" applyFont="1" applyFill="1" applyBorder="1" applyAlignment="1">
      <alignment horizontal="left" vertical="center" shrinkToFit="1"/>
    </xf>
    <xf numFmtId="0" fontId="16" fillId="3" borderId="23" xfId="0" applyNumberFormat="1" applyFont="1" applyFill="1" applyBorder="1" applyAlignment="1">
      <alignment vertical="center" shrinkToFit="1"/>
    </xf>
    <xf numFmtId="0" fontId="16" fillId="3" borderId="24" xfId="0" applyNumberFormat="1" applyFont="1" applyFill="1" applyBorder="1" applyAlignment="1">
      <alignment vertical="center" shrinkToFit="1"/>
    </xf>
    <xf numFmtId="0" fontId="16" fillId="3" borderId="25" xfId="0" applyNumberFormat="1" applyFont="1" applyFill="1" applyBorder="1" applyAlignment="1">
      <alignment vertical="center" shrinkToFit="1"/>
    </xf>
    <xf numFmtId="0" fontId="16" fillId="3" borderId="11" xfId="0" applyNumberFormat="1" applyFont="1" applyFill="1" applyBorder="1" applyAlignment="1">
      <alignment vertical="center" shrinkToFit="1"/>
    </xf>
    <xf numFmtId="0" fontId="16" fillId="3" borderId="9" xfId="0" applyNumberFormat="1" applyFont="1" applyFill="1" applyBorder="1" applyAlignment="1">
      <alignment vertical="center" shrinkToFit="1"/>
    </xf>
    <xf numFmtId="0" fontId="16" fillId="3" borderId="10" xfId="0" applyNumberFormat="1" applyFont="1" applyFill="1" applyBorder="1" applyAlignment="1">
      <alignment vertical="center" shrinkToFit="1"/>
    </xf>
    <xf numFmtId="164" fontId="3" fillId="0" borderId="0" xfId="0" applyNumberFormat="1" applyFont="1" applyAlignment="1">
      <alignment horizontal="center"/>
    </xf>
    <xf numFmtId="164" fontId="3" fillId="0" borderId="28" xfId="0" applyNumberFormat="1" applyFont="1" applyBorder="1" applyAlignment="1">
      <alignment horizontal="center"/>
    </xf>
  </cellXfs>
  <cellStyles count="1">
    <cellStyle name="Normal" xfId="0" builtinId="0"/>
  </cellStyles>
  <dxfs count="2">
    <dxf>
      <numFmt numFmtId="166" formatCode="&quot;π*&quot;"/>
    </dxf>
    <dxf>
      <numFmt numFmtId="167" formatCode="#?/#?&quot;*&quot;"/>
    </dxf>
  </dxfs>
  <tableStyles count="0" defaultTableStyle="TableStyleMedium2" defaultPivotStyle="PivotStyleLight16"/>
  <colors>
    <mruColors>
      <color rgb="FF007E3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7" Type="http://schemas.microsoft.com/office/2006/relationships/vbaProject" Target="vbaProject.bin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eetMetadata" Target="metadata.xml"/><Relationship Id="rId4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3" Type="http://schemas.microsoft.com/office/2007/relationships/hdphoto" Target="../media/hdphoto1.wdp"/><Relationship Id="rId2" Type="http://schemas.openxmlformats.org/officeDocument/2006/relationships/image" Target="../media/image2.png"/><Relationship Id="rId1" Type="http://schemas.openxmlformats.org/officeDocument/2006/relationships/image" Target="../media/image1.jpe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22009</xdr:colOff>
      <xdr:row>0</xdr:row>
      <xdr:rowOff>25392</xdr:rowOff>
    </xdr:from>
    <xdr:to>
      <xdr:col>2</xdr:col>
      <xdr:colOff>38100</xdr:colOff>
      <xdr:row>1</xdr:row>
      <xdr:rowOff>187740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742C887F-D82F-4817-BB59-5F92DDC7338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t="30335" b="30335"/>
        <a:stretch/>
      </xdr:blipFill>
      <xdr:spPr>
        <a:xfrm>
          <a:off x="22009" y="25392"/>
          <a:ext cx="960308" cy="377696"/>
        </a:xfrm>
        <a:prstGeom prst="rect">
          <a:avLst/>
        </a:prstGeom>
        <a:noFill/>
      </xdr:spPr>
    </xdr:pic>
    <xdr:clientData/>
  </xdr:twoCellAnchor>
  <xdr:oneCellAnchor>
    <xdr:from>
      <xdr:col>0</xdr:col>
      <xdr:colOff>22009</xdr:colOff>
      <xdr:row>56</xdr:row>
      <xdr:rowOff>25392</xdr:rowOff>
    </xdr:from>
    <xdr:ext cx="983831" cy="383328"/>
    <xdr:pic>
      <xdr:nvPicPr>
        <xdr:cNvPr id="8" name="Picture 7" descr="Logo.jpg">
          <a:extLst>
            <a:ext uri="{FF2B5EF4-FFF2-40B4-BE49-F238E27FC236}">
              <a16:creationId xmlns:a16="http://schemas.microsoft.com/office/drawing/2014/main" id="{A6C49916-DF26-4654-AC87-1709DCD58643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" cstate="print">
          <a:extLst>
            <a:ext uri="{BEBA8EAE-BF5A-486C-A8C5-ECC9F3942E4B}">
              <a14:imgProps xmlns:a14="http://schemas.microsoft.com/office/drawing/2010/main">
                <a14:imgLayer r:embed="rId3">
                  <a14:imgEffect>
                    <a14:sharpenSoften amount="25000"/>
                  </a14:imgEffect>
                </a14:imgLayer>
              </a14:imgProps>
            </a:ext>
          </a:extLst>
        </a:blip>
        <a:srcRect l="1040" r="1192"/>
        <a:stretch/>
      </xdr:blipFill>
      <xdr:spPr>
        <a:xfrm>
          <a:off x="22009" y="25392"/>
          <a:ext cx="983831" cy="383328"/>
        </a:xfrm>
        <a:prstGeom prst="rect">
          <a:avLst/>
        </a:prstGeom>
        <a:noFill/>
      </xdr:spPr>
    </xdr:pic>
    <xdr:clientData/>
  </xdr:oneCellAnchor>
  <xdr:oneCellAnchor>
    <xdr:from>
      <xdr:col>0</xdr:col>
      <xdr:colOff>22009</xdr:colOff>
      <xdr:row>112</xdr:row>
      <xdr:rowOff>25392</xdr:rowOff>
    </xdr:from>
    <xdr:ext cx="983831" cy="383328"/>
    <xdr:pic>
      <xdr:nvPicPr>
        <xdr:cNvPr id="10" name="Picture 9" descr="Logo.jpg">
          <a:extLst>
            <a:ext uri="{FF2B5EF4-FFF2-40B4-BE49-F238E27FC236}">
              <a16:creationId xmlns:a16="http://schemas.microsoft.com/office/drawing/2014/main" id="{8B0C0973-6960-43C4-A65A-61913A5590C3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" cstate="print">
          <a:extLst>
            <a:ext uri="{BEBA8EAE-BF5A-486C-A8C5-ECC9F3942E4B}">
              <a14:imgProps xmlns:a14="http://schemas.microsoft.com/office/drawing/2010/main">
                <a14:imgLayer r:embed="rId3">
                  <a14:imgEffect>
                    <a14:sharpenSoften amount="25000"/>
                  </a14:imgEffect>
                </a14:imgLayer>
              </a14:imgProps>
            </a:ext>
          </a:extLst>
        </a:blip>
        <a:srcRect l="1040" r="1192"/>
        <a:stretch/>
      </xdr:blipFill>
      <xdr:spPr>
        <a:xfrm>
          <a:off x="22009" y="9984732"/>
          <a:ext cx="983831" cy="383328"/>
        </a:xfrm>
        <a:prstGeom prst="rect">
          <a:avLst/>
        </a:prstGeom>
        <a:noFill/>
      </xdr:spPr>
    </xdr:pic>
    <xdr:clientData/>
  </xdr:one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F4BBF0B-412E-4BC1-A8B5-2BB2B0601D1B}">
  <sheetPr codeName="Sheet1"/>
  <dimension ref="A1:Q121"/>
  <sheetViews>
    <sheetView tabSelected="1" zoomScale="90" zoomScaleNormal="90" zoomScaleSheetLayoutView="145" zoomScalePageLayoutView="130" workbookViewId="0">
      <selection activeCell="L10" sqref="L10"/>
    </sheetView>
  </sheetViews>
  <sheetFormatPr defaultColWidth="8.85546875" defaultRowHeight="12.75" x14ac:dyDescent="0.2"/>
  <cols>
    <col min="1" max="1" width="3.42578125" style="26" bestFit="1" customWidth="1"/>
    <col min="2" max="2" width="10.7109375" style="1" customWidth="1"/>
    <col min="3" max="3" width="5" style="4" customWidth="1"/>
    <col min="4" max="5" width="6.28515625" style="4" customWidth="1"/>
    <col min="6" max="6" width="8" style="2" customWidth="1"/>
    <col min="7" max="7" width="8" style="3" customWidth="1"/>
    <col min="8" max="8" width="3.28515625" style="58" customWidth="1"/>
    <col min="9" max="9" width="3.42578125" style="29" customWidth="1"/>
    <col min="10" max="10" width="10.7109375" style="1" customWidth="1"/>
    <col min="11" max="11" width="5" style="4" customWidth="1"/>
    <col min="12" max="13" width="6.28515625" style="4" customWidth="1"/>
    <col min="14" max="14" width="8" style="2" customWidth="1"/>
    <col min="15" max="15" width="8" style="3" customWidth="1"/>
    <col min="16" max="16" width="3.28515625" style="1" customWidth="1"/>
    <col min="17" max="16384" width="8.85546875" style="1"/>
  </cols>
  <sheetData>
    <row r="1" spans="1:16" s="7" customFormat="1" ht="17.45" customHeight="1" thickTop="1" x14ac:dyDescent="0.25">
      <c r="A1" s="40"/>
      <c r="B1" s="59"/>
      <c r="C1" s="59"/>
      <c r="D1" s="72" t="s">
        <v>0</v>
      </c>
      <c r="E1" s="72"/>
      <c r="F1" s="72"/>
      <c r="G1" s="72"/>
      <c r="H1" s="41"/>
      <c r="I1" s="42"/>
      <c r="J1" s="43"/>
      <c r="K1" s="49" t="s">
        <v>7</v>
      </c>
      <c r="L1" s="49"/>
      <c r="M1" s="44">
        <v>1</v>
      </c>
      <c r="N1" s="45" t="s">
        <v>8</v>
      </c>
      <c r="O1" s="44">
        <v>1</v>
      </c>
      <c r="P1" s="62"/>
    </row>
    <row r="2" spans="1:16" s="7" customFormat="1" ht="17.45" customHeight="1" x14ac:dyDescent="0.25">
      <c r="A2" s="50"/>
      <c r="B2" s="60"/>
      <c r="C2" s="61"/>
      <c r="D2" s="73"/>
      <c r="E2" s="73"/>
      <c r="F2" s="73"/>
      <c r="G2" s="73"/>
      <c r="H2" s="39"/>
      <c r="I2" s="51"/>
      <c r="J2" s="52"/>
      <c r="K2" s="21" t="s">
        <v>6</v>
      </c>
      <c r="L2" s="21"/>
      <c r="M2" s="69">
        <v>44125</v>
      </c>
      <c r="N2" s="69"/>
      <c r="O2" s="69"/>
      <c r="P2" s="63"/>
    </row>
    <row r="3" spans="1:16" s="15" customFormat="1" ht="11.25" x14ac:dyDescent="0.2">
      <c r="A3" s="23" t="s">
        <v>2</v>
      </c>
      <c r="B3" s="8"/>
      <c r="C3" s="9"/>
      <c r="D3" s="9"/>
      <c r="E3" s="9"/>
      <c r="F3" s="10"/>
      <c r="G3" s="11"/>
      <c r="H3" s="53"/>
      <c r="I3" s="27" t="s">
        <v>3</v>
      </c>
      <c r="J3" s="12"/>
      <c r="K3" s="13" t="s">
        <v>4</v>
      </c>
      <c r="L3" s="9"/>
      <c r="M3" s="9"/>
      <c r="N3" s="10"/>
      <c r="O3" s="11"/>
      <c r="P3" s="14"/>
    </row>
    <row r="4" spans="1:16" s="22" customFormat="1" ht="23.25" x14ac:dyDescent="0.35">
      <c r="A4" s="74" t="s">
        <v>1</v>
      </c>
      <c r="B4" s="75"/>
      <c r="C4" s="75"/>
      <c r="D4" s="75"/>
      <c r="E4" s="75"/>
      <c r="F4" s="75"/>
      <c r="G4" s="75"/>
      <c r="H4" s="75"/>
      <c r="I4" s="70" t="s">
        <v>9</v>
      </c>
      <c r="J4" s="71"/>
      <c r="K4" s="79" t="s">
        <v>10</v>
      </c>
      <c r="L4" s="80"/>
      <c r="M4" s="80"/>
      <c r="N4" s="80"/>
      <c r="O4" s="80"/>
      <c r="P4" s="81"/>
    </row>
    <row r="5" spans="1:16" s="15" customFormat="1" ht="11.25" x14ac:dyDescent="0.2">
      <c r="A5" s="23" t="s">
        <v>5</v>
      </c>
      <c r="B5" s="16"/>
      <c r="C5" s="17"/>
      <c r="D5" s="17"/>
      <c r="E5" s="17"/>
      <c r="F5" s="18"/>
      <c r="G5" s="19"/>
      <c r="H5" s="54"/>
      <c r="I5" s="28"/>
      <c r="J5" s="16"/>
      <c r="K5" s="17"/>
      <c r="L5" s="17"/>
      <c r="M5" s="17"/>
      <c r="N5" s="18"/>
      <c r="O5" s="18"/>
      <c r="P5" s="20"/>
    </row>
    <row r="6" spans="1:16" x14ac:dyDescent="0.2">
      <c r="A6" s="67" t="s">
        <v>21</v>
      </c>
      <c r="B6" s="31"/>
      <c r="C6" s="31"/>
      <c r="D6" s="31"/>
      <c r="E6" s="31"/>
      <c r="F6" s="31"/>
      <c r="G6" s="31"/>
      <c r="H6" s="55"/>
      <c r="I6" s="31"/>
      <c r="J6" s="31"/>
      <c r="K6" s="31"/>
      <c r="L6" s="31"/>
      <c r="M6" s="31"/>
      <c r="N6" s="31"/>
      <c r="O6" s="31"/>
      <c r="P6" s="32"/>
    </row>
    <row r="7" spans="1:16" x14ac:dyDescent="0.2">
      <c r="A7" s="33"/>
      <c r="B7" s="34"/>
      <c r="C7" s="34"/>
      <c r="D7" s="34"/>
      <c r="E7" s="34"/>
      <c r="F7" s="34"/>
      <c r="G7" s="34"/>
      <c r="H7" s="56"/>
      <c r="I7" s="34"/>
      <c r="J7" s="34"/>
      <c r="K7" s="34"/>
      <c r="L7" s="34"/>
      <c r="M7" s="34"/>
      <c r="N7" s="34"/>
      <c r="O7" s="34"/>
      <c r="P7" s="35"/>
    </row>
    <row r="8" spans="1:16" ht="13.5" thickBot="1" x14ac:dyDescent="0.25">
      <c r="A8" s="46"/>
      <c r="B8" s="47"/>
      <c r="C8" s="47"/>
      <c r="D8" s="47"/>
      <c r="E8" s="47"/>
      <c r="F8" s="47"/>
      <c r="G8" s="47"/>
      <c r="H8" s="57"/>
      <c r="I8" s="47"/>
      <c r="J8" s="47"/>
      <c r="K8" s="47"/>
      <c r="L8" s="47"/>
      <c r="M8" s="47"/>
      <c r="N8" s="47"/>
      <c r="O8" s="47"/>
      <c r="P8" s="48"/>
    </row>
    <row r="9" spans="1:16" ht="13.5" thickTop="1" x14ac:dyDescent="0.2">
      <c r="A9" s="24" t="s">
        <v>11</v>
      </c>
      <c r="B9" s="6"/>
      <c r="I9" s="36" t="s">
        <v>26</v>
      </c>
    </row>
    <row r="10" spans="1:16" x14ac:dyDescent="0.2">
      <c r="A10" s="25"/>
      <c r="B10" s="37"/>
      <c r="J10" s="1" t="s">
        <v>27</v>
      </c>
    </row>
    <row r="11" spans="1:16" x14ac:dyDescent="0.2">
      <c r="D11" s="5"/>
      <c r="E11" s="4">
        <v>2</v>
      </c>
      <c r="F11" s="2">
        <v>16</v>
      </c>
      <c r="K11" s="82" t="s">
        <v>22</v>
      </c>
      <c r="L11" s="82"/>
      <c r="M11" s="83"/>
      <c r="N11" s="2" t="s">
        <v>23</v>
      </c>
      <c r="O11" s="3" t="s">
        <v>24</v>
      </c>
      <c r="P11" s="1" t="s">
        <v>25</v>
      </c>
    </row>
    <row r="12" spans="1:16" x14ac:dyDescent="0.2">
      <c r="F12" s="2">
        <v>0.6</v>
      </c>
    </row>
    <row r="13" spans="1:16" x14ac:dyDescent="0.2">
      <c r="F13" s="65">
        <v>1.2</v>
      </c>
      <c r="G13" s="3" cm="1">
        <f t="array" aca="1" ref="G13" ca="1">cm()</f>
        <v>23.04</v>
      </c>
    </row>
    <row r="14" spans="1:16" x14ac:dyDescent="0.2">
      <c r="B14" s="1" t="s">
        <v>17</v>
      </c>
      <c r="E14" s="4">
        <v>2</v>
      </c>
      <c r="F14" s="2">
        <v>9.1999999999999993</v>
      </c>
    </row>
    <row r="15" spans="1:16" x14ac:dyDescent="0.2">
      <c r="F15" s="2">
        <v>0.6</v>
      </c>
    </row>
    <row r="16" spans="1:16" x14ac:dyDescent="0.2">
      <c r="F16" s="65">
        <v>1.2</v>
      </c>
      <c r="G16" s="3" cm="1">
        <f t="array" aca="1" ref="G16" ca="1">cm()</f>
        <v>13.247999999999999</v>
      </c>
    </row>
    <row r="17" spans="1:17" x14ac:dyDescent="0.2">
      <c r="E17" s="4">
        <v>2</v>
      </c>
      <c r="F17" s="2">
        <v>8</v>
      </c>
    </row>
    <row r="18" spans="1:17" x14ac:dyDescent="0.2">
      <c r="F18" s="2">
        <v>0.45</v>
      </c>
    </row>
    <row r="19" spans="1:17" x14ac:dyDescent="0.2">
      <c r="F19" s="65">
        <v>1.2</v>
      </c>
      <c r="G19" s="3" cm="1">
        <f t="array" aca="1" ref="G19" ca="1">cm()</f>
        <v>8.64</v>
      </c>
    </row>
    <row r="20" spans="1:17" x14ac:dyDescent="0.2">
      <c r="G20" s="64">
        <f ca="1">SUM(G10:G19)</f>
        <v>44.927999999999997</v>
      </c>
      <c r="H20" s="58" t="s">
        <v>12</v>
      </c>
      <c r="Q20" s="68"/>
    </row>
    <row r="22" spans="1:17" x14ac:dyDescent="0.2">
      <c r="A22" s="24" t="s">
        <v>13</v>
      </c>
    </row>
    <row r="24" spans="1:17" x14ac:dyDescent="0.2">
      <c r="E24" s="4">
        <v>2</v>
      </c>
      <c r="F24" s="2">
        <v>16</v>
      </c>
    </row>
    <row r="25" spans="1:17" x14ac:dyDescent="0.2">
      <c r="F25" s="65">
        <v>1.2</v>
      </c>
      <c r="G25" s="3" cm="1">
        <f t="array" aca="1" ref="G25" ca="1">sm()</f>
        <v>38.4</v>
      </c>
    </row>
    <row r="26" spans="1:17" x14ac:dyDescent="0.2">
      <c r="B26" s="1" t="s">
        <v>16</v>
      </c>
      <c r="E26" s="4">
        <v>2</v>
      </c>
      <c r="F26" s="2">
        <f>16-2*0.45</f>
        <v>15.1</v>
      </c>
    </row>
    <row r="27" spans="1:17" x14ac:dyDescent="0.2">
      <c r="F27" s="65">
        <v>1.2</v>
      </c>
      <c r="G27" s="3" cm="1">
        <f t="array" aca="1" ref="G27" ca="1">sm()</f>
        <v>36.239999999999995</v>
      </c>
    </row>
    <row r="28" spans="1:17" x14ac:dyDescent="0.2">
      <c r="E28" s="4">
        <v>2</v>
      </c>
      <c r="F28" s="2">
        <v>9.1999999999999993</v>
      </c>
    </row>
    <row r="29" spans="1:17" x14ac:dyDescent="0.2">
      <c r="F29" s="65">
        <v>1.2</v>
      </c>
      <c r="G29" s="3" cm="1">
        <f t="array" aca="1" ref="G29" ca="1">sm()</f>
        <v>22.08</v>
      </c>
    </row>
    <row r="30" spans="1:17" x14ac:dyDescent="0.2">
      <c r="E30" s="4">
        <v>6</v>
      </c>
      <c r="F30" s="2">
        <v>8</v>
      </c>
    </row>
    <row r="31" spans="1:17" x14ac:dyDescent="0.2">
      <c r="F31" s="65">
        <v>1.2</v>
      </c>
      <c r="G31" s="3" cm="1">
        <f t="array" aca="1" ref="G31" ca="1">sm()</f>
        <v>57.599999999999994</v>
      </c>
    </row>
    <row r="32" spans="1:17" x14ac:dyDescent="0.2">
      <c r="G32" s="64">
        <f ca="1">SUM(G23:G31)</f>
        <v>154.32</v>
      </c>
      <c r="H32" s="58" t="s">
        <v>14</v>
      </c>
    </row>
    <row r="34" spans="1:8" x14ac:dyDescent="0.2">
      <c r="A34" s="24" t="s">
        <v>15</v>
      </c>
    </row>
    <row r="35" spans="1:8" x14ac:dyDescent="0.2">
      <c r="E35" s="4">
        <v>2</v>
      </c>
      <c r="F35" s="65">
        <f>F26</f>
        <v>15.1</v>
      </c>
    </row>
    <row r="36" spans="1:8" x14ac:dyDescent="0.2">
      <c r="E36" s="4">
        <v>2</v>
      </c>
      <c r="F36" s="66">
        <f>F30</f>
        <v>8</v>
      </c>
    </row>
    <row r="37" spans="1:8" x14ac:dyDescent="0.2">
      <c r="G37" s="64" cm="1">
        <f t="array" aca="1" ref="G37" ca="1">m(F35:F36)</f>
        <v>46.2</v>
      </c>
      <c r="H37" s="58" t="s">
        <v>18</v>
      </c>
    </row>
    <row r="39" spans="1:8" x14ac:dyDescent="0.2">
      <c r="A39" s="36" t="s">
        <v>19</v>
      </c>
    </row>
    <row r="40" spans="1:8" x14ac:dyDescent="0.2">
      <c r="A40" s="29"/>
      <c r="B40" s="1" t="s">
        <v>20</v>
      </c>
      <c r="G40" s="64">
        <f ca="1">G20</f>
        <v>44.927999999999997</v>
      </c>
      <c r="H40" s="58" t="s">
        <v>12</v>
      </c>
    </row>
    <row r="56" spans="1:16" ht="13.5" thickBot="1" x14ac:dyDescent="0.25"/>
    <row r="57" spans="1:16" s="7" customFormat="1" ht="17.45" customHeight="1" thickTop="1" x14ac:dyDescent="0.25">
      <c r="A57" s="40"/>
      <c r="B57" s="59"/>
      <c r="C57" s="59"/>
      <c r="D57" s="72" t="s">
        <v>0</v>
      </c>
      <c r="E57" s="72"/>
      <c r="F57" s="72"/>
      <c r="G57" s="72"/>
      <c r="H57" s="41"/>
      <c r="I57" s="42"/>
      <c r="J57" s="43"/>
      <c r="K57" s="49" t="s">
        <v>7</v>
      </c>
      <c r="L57" s="49"/>
      <c r="M57" s="44">
        <v>2</v>
      </c>
      <c r="N57" s="45" t="s">
        <v>8</v>
      </c>
      <c r="O57" s="44">
        <f>$O$1</f>
        <v>1</v>
      </c>
      <c r="P57" s="62"/>
    </row>
    <row r="58" spans="1:16" s="7" customFormat="1" ht="17.45" customHeight="1" x14ac:dyDescent="0.25">
      <c r="A58" s="50"/>
      <c r="B58" s="60"/>
      <c r="C58" s="61"/>
      <c r="D58" s="73"/>
      <c r="E58" s="73"/>
      <c r="F58" s="73"/>
      <c r="G58" s="73"/>
      <c r="H58" s="39"/>
      <c r="I58" s="51"/>
      <c r="J58" s="52"/>
      <c r="K58" s="21" t="s">
        <v>6</v>
      </c>
      <c r="L58" s="21"/>
      <c r="M58" s="69">
        <f>$M$2</f>
        <v>44125</v>
      </c>
      <c r="N58" s="69"/>
      <c r="O58" s="69"/>
      <c r="P58" s="63"/>
    </row>
    <row r="59" spans="1:16" s="15" customFormat="1" ht="11.25" x14ac:dyDescent="0.2">
      <c r="A59" s="23" t="s">
        <v>2</v>
      </c>
      <c r="B59" s="8"/>
      <c r="C59" s="9"/>
      <c r="D59" s="9"/>
      <c r="E59" s="9"/>
      <c r="F59" s="10"/>
      <c r="G59" s="11"/>
      <c r="H59" s="53"/>
      <c r="I59" s="27" t="s">
        <v>3</v>
      </c>
      <c r="J59" s="12"/>
      <c r="K59" s="13" t="s">
        <v>4</v>
      </c>
      <c r="L59" s="9"/>
      <c r="M59" s="9"/>
      <c r="N59" s="10"/>
      <c r="O59" s="11"/>
      <c r="P59" s="14"/>
    </row>
    <row r="60" spans="1:16" s="38" customFormat="1" ht="23.25" x14ac:dyDescent="0.35">
      <c r="A60" s="74" t="str">
        <f>$A$4</f>
        <v>Contract Title</v>
      </c>
      <c r="B60" s="75"/>
      <c r="C60" s="75"/>
      <c r="D60" s="75"/>
      <c r="E60" s="75"/>
      <c r="F60" s="75"/>
      <c r="G60" s="75"/>
      <c r="H60" s="75"/>
      <c r="I60" s="70" t="str">
        <f>$I$4</f>
        <v>####</v>
      </c>
      <c r="J60" s="71"/>
      <c r="K60" s="76" t="str">
        <f>$K$4</f>
        <v>Client</v>
      </c>
      <c r="L60" s="77"/>
      <c r="M60" s="77"/>
      <c r="N60" s="77"/>
      <c r="O60" s="77"/>
      <c r="P60" s="78"/>
    </row>
    <row r="61" spans="1:16" s="15" customFormat="1" ht="11.25" x14ac:dyDescent="0.2">
      <c r="A61" s="23" t="s">
        <v>5</v>
      </c>
      <c r="B61" s="16"/>
      <c r="C61" s="17"/>
      <c r="D61" s="17"/>
      <c r="E61" s="17"/>
      <c r="F61" s="18"/>
      <c r="G61" s="19"/>
      <c r="H61" s="54"/>
      <c r="I61" s="28"/>
      <c r="J61" s="16"/>
      <c r="K61" s="17"/>
      <c r="L61" s="17"/>
      <c r="M61" s="17"/>
      <c r="N61" s="18"/>
      <c r="O61" s="18"/>
      <c r="P61" s="20"/>
    </row>
    <row r="62" spans="1:16" x14ac:dyDescent="0.2">
      <c r="A62" s="30"/>
      <c r="B62" s="31"/>
      <c r="C62" s="31"/>
      <c r="D62" s="31"/>
      <c r="E62" s="31"/>
      <c r="F62" s="31"/>
      <c r="G62" s="31"/>
      <c r="H62" s="55"/>
      <c r="I62" s="31"/>
      <c r="J62" s="31"/>
      <c r="K62" s="31"/>
      <c r="L62" s="31"/>
      <c r="M62" s="31"/>
      <c r="N62" s="31"/>
      <c r="O62" s="31"/>
      <c r="P62" s="32"/>
    </row>
    <row r="63" spans="1:16" x14ac:dyDescent="0.2">
      <c r="A63" s="33"/>
      <c r="B63" s="34"/>
      <c r="C63" s="34"/>
      <c r="D63" s="34"/>
      <c r="E63" s="34"/>
      <c r="F63" s="34"/>
      <c r="G63" s="34"/>
      <c r="H63" s="56"/>
      <c r="I63" s="34"/>
      <c r="J63" s="34"/>
      <c r="K63" s="34"/>
      <c r="L63" s="34"/>
      <c r="M63" s="34"/>
      <c r="N63" s="34"/>
      <c r="O63" s="34"/>
      <c r="P63" s="35"/>
    </row>
    <row r="64" spans="1:16" ht="13.5" thickBot="1" x14ac:dyDescent="0.25">
      <c r="A64" s="46"/>
      <c r="B64" s="47"/>
      <c r="C64" s="47"/>
      <c r="D64" s="47"/>
      <c r="E64" s="47"/>
      <c r="F64" s="47"/>
      <c r="G64" s="47"/>
      <c r="H64" s="57"/>
      <c r="I64" s="47"/>
      <c r="J64" s="47"/>
      <c r="K64" s="47"/>
      <c r="L64" s="47"/>
      <c r="M64" s="47"/>
      <c r="N64" s="47"/>
      <c r="O64" s="47"/>
      <c r="P64" s="48"/>
    </row>
    <row r="65" ht="13.5" thickTop="1" x14ac:dyDescent="0.2"/>
    <row r="112" ht="13.5" thickBot="1" x14ac:dyDescent="0.25"/>
    <row r="113" spans="1:16" s="7" customFormat="1" ht="17.45" customHeight="1" thickTop="1" x14ac:dyDescent="0.25">
      <c r="A113" s="40"/>
      <c r="B113" s="59"/>
      <c r="C113" s="59"/>
      <c r="D113" s="72" t="s">
        <v>0</v>
      </c>
      <c r="E113" s="72"/>
      <c r="F113" s="72"/>
      <c r="G113" s="72"/>
      <c r="H113" s="41"/>
      <c r="I113" s="42"/>
      <c r="J113" s="43"/>
      <c r="K113" s="49" t="s">
        <v>7</v>
      </c>
      <c r="L113" s="49"/>
      <c r="M113" s="44">
        <v>3</v>
      </c>
      <c r="N113" s="45" t="s">
        <v>8</v>
      </c>
      <c r="O113" s="44">
        <f>$O$1</f>
        <v>1</v>
      </c>
      <c r="P113" s="62"/>
    </row>
    <row r="114" spans="1:16" s="7" customFormat="1" ht="17.45" customHeight="1" x14ac:dyDescent="0.25">
      <c r="A114" s="50"/>
      <c r="B114" s="60"/>
      <c r="C114" s="61"/>
      <c r="D114" s="73"/>
      <c r="E114" s="73"/>
      <c r="F114" s="73"/>
      <c r="G114" s="73"/>
      <c r="H114" s="39"/>
      <c r="I114" s="51"/>
      <c r="J114" s="52"/>
      <c r="K114" s="21" t="s">
        <v>6</v>
      </c>
      <c r="L114" s="21"/>
      <c r="M114" s="69">
        <f>$M$2</f>
        <v>44125</v>
      </c>
      <c r="N114" s="69"/>
      <c r="O114" s="69"/>
      <c r="P114" s="63"/>
    </row>
    <row r="115" spans="1:16" s="15" customFormat="1" ht="11.25" x14ac:dyDescent="0.2">
      <c r="A115" s="23" t="s">
        <v>2</v>
      </c>
      <c r="B115" s="8"/>
      <c r="C115" s="9"/>
      <c r="D115" s="9"/>
      <c r="E115" s="9"/>
      <c r="F115" s="10"/>
      <c r="G115" s="11"/>
      <c r="H115" s="53"/>
      <c r="I115" s="27" t="s">
        <v>3</v>
      </c>
      <c r="J115" s="12"/>
      <c r="K115" s="13" t="s">
        <v>4</v>
      </c>
      <c r="L115" s="9"/>
      <c r="M115" s="9"/>
      <c r="N115" s="10"/>
      <c r="O115" s="11"/>
      <c r="P115" s="14"/>
    </row>
    <row r="116" spans="1:16" s="38" customFormat="1" ht="23.25" x14ac:dyDescent="0.35">
      <c r="A116" s="74" t="str">
        <f>$A$4</f>
        <v>Contract Title</v>
      </c>
      <c r="B116" s="75"/>
      <c r="C116" s="75"/>
      <c r="D116" s="75"/>
      <c r="E116" s="75"/>
      <c r="F116" s="75"/>
      <c r="G116" s="75"/>
      <c r="H116" s="75"/>
      <c r="I116" s="70" t="str">
        <f>$I$4</f>
        <v>####</v>
      </c>
      <c r="J116" s="71"/>
      <c r="K116" s="76" t="str">
        <f>$K$4</f>
        <v>Client</v>
      </c>
      <c r="L116" s="77"/>
      <c r="M116" s="77"/>
      <c r="N116" s="77"/>
      <c r="O116" s="77"/>
      <c r="P116" s="78"/>
    </row>
    <row r="117" spans="1:16" s="15" customFormat="1" ht="11.25" x14ac:dyDescent="0.2">
      <c r="A117" s="23" t="s">
        <v>5</v>
      </c>
      <c r="B117" s="16"/>
      <c r="C117" s="17"/>
      <c r="D117" s="17"/>
      <c r="E117" s="17"/>
      <c r="F117" s="18"/>
      <c r="G117" s="19"/>
      <c r="H117" s="54"/>
      <c r="I117" s="28"/>
      <c r="J117" s="16"/>
      <c r="K117" s="17"/>
      <c r="L117" s="17"/>
      <c r="M117" s="17"/>
      <c r="N117" s="18"/>
      <c r="O117" s="18"/>
      <c r="P117" s="20"/>
    </row>
    <row r="118" spans="1:16" x14ac:dyDescent="0.2">
      <c r="A118" s="30"/>
      <c r="B118" s="31"/>
      <c r="C118" s="31"/>
      <c r="D118" s="31"/>
      <c r="E118" s="31"/>
      <c r="F118" s="31"/>
      <c r="G118" s="31"/>
      <c r="H118" s="55"/>
      <c r="I118" s="31"/>
      <c r="J118" s="31"/>
      <c r="K118" s="31"/>
      <c r="L118" s="31"/>
      <c r="M118" s="31"/>
      <c r="N118" s="31"/>
      <c r="O118" s="31"/>
      <c r="P118" s="32"/>
    </row>
    <row r="119" spans="1:16" x14ac:dyDescent="0.2">
      <c r="A119" s="33"/>
      <c r="B119" s="34"/>
      <c r="C119" s="34"/>
      <c r="D119" s="34"/>
      <c r="E119" s="34"/>
      <c r="F119" s="34"/>
      <c r="G119" s="34"/>
      <c r="H119" s="56"/>
      <c r="I119" s="34"/>
      <c r="J119" s="34"/>
      <c r="K119" s="34"/>
      <c r="L119" s="34"/>
      <c r="M119" s="34"/>
      <c r="N119" s="34"/>
      <c r="O119" s="34"/>
      <c r="P119" s="35"/>
    </row>
    <row r="120" spans="1:16" ht="13.5" thickBot="1" x14ac:dyDescent="0.25">
      <c r="A120" s="46"/>
      <c r="B120" s="47"/>
      <c r="C120" s="47"/>
      <c r="D120" s="47"/>
      <c r="E120" s="47"/>
      <c r="F120" s="47"/>
      <c r="G120" s="47"/>
      <c r="H120" s="57"/>
      <c r="I120" s="47"/>
      <c r="J120" s="47"/>
      <c r="K120" s="47"/>
      <c r="L120" s="47"/>
      <c r="M120" s="47"/>
      <c r="N120" s="47"/>
      <c r="O120" s="47"/>
      <c r="P120" s="48"/>
    </row>
    <row r="121" spans="1:16" ht="13.5" thickTop="1" x14ac:dyDescent="0.2"/>
  </sheetData>
  <mergeCells count="16">
    <mergeCell ref="M2:O2"/>
    <mergeCell ref="I60:J60"/>
    <mergeCell ref="D1:G2"/>
    <mergeCell ref="A4:H4"/>
    <mergeCell ref="K4:P4"/>
    <mergeCell ref="D57:G58"/>
    <mergeCell ref="A60:H60"/>
    <mergeCell ref="K60:P60"/>
    <mergeCell ref="M58:O58"/>
    <mergeCell ref="I4:J4"/>
    <mergeCell ref="K11:M11"/>
    <mergeCell ref="M114:O114"/>
    <mergeCell ref="I116:J116"/>
    <mergeCell ref="D113:G114"/>
    <mergeCell ref="A116:H116"/>
    <mergeCell ref="K116:P116"/>
  </mergeCells>
  <conditionalFormatting sqref="C9:E56 C65:E112 K65:M112 C121:E1048576 K121:M1048576 K12:M56 K11 K9:M10">
    <cfRule type="expression" dxfId="1" priority="50">
      <formula>(LEN(C9)-LEN(TRUNC(C9)))&gt;2</formula>
    </cfRule>
    <cfRule type="expression" dxfId="0" priority="49">
      <formula>IF(C9=PI(),1,0)</formula>
    </cfRule>
  </conditionalFormatting>
  <printOptions horizontalCentered="1" verticalCentered="1"/>
  <pageMargins left="0.11811023622047245" right="0.11811023622047245" top="0.31496062992125984" bottom="0.31496062992125984" header="0.11811023622047245" footer="0.11811023622047245"/>
  <pageSetup paperSize="9" scale="99" orientation="portrait" r:id="rId1"/>
  <headerFooter>
    <oddFooter>&amp;C&amp;8&amp;K00-014SM 10.20</oddFooter>
  </headerFooter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1</vt:i4>
      </vt:variant>
    </vt:vector>
  </HeadingPairs>
  <TitlesOfParts>
    <vt:vector size="2" baseType="lpstr">
      <vt:lpstr>SM</vt:lpstr>
      <vt:lpstr>SM!Print_Area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Niall Doherty</dc:creator>
  <cp:lastModifiedBy>Niall Doherty</cp:lastModifiedBy>
  <cp:lastPrinted>2021-01-30T15:39:22Z</cp:lastPrinted>
  <dcterms:created xsi:type="dcterms:W3CDTF">2020-10-16T09:55:01Z</dcterms:created>
  <dcterms:modified xsi:type="dcterms:W3CDTF">2021-02-01T10:38:56Z</dcterms:modified>
</cp:coreProperties>
</file>